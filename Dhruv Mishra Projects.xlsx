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7EEC5D5D-A44D-4EF1-92DA-E991A813C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C20" i="1"/>
  <c r="C19" i="1"/>
  <c r="C18" i="1"/>
  <c r="B20" i="1"/>
  <c r="B19" i="1"/>
  <c r="B18" i="1"/>
  <c r="C17" i="1"/>
  <c r="B17" i="1"/>
</calcChain>
</file>

<file path=xl/sharedStrings.xml><?xml version="1.0" encoding="utf-8"?>
<sst xmlns="http://schemas.openxmlformats.org/spreadsheetml/2006/main" count="22" uniqueCount="22">
  <si>
    <t>Bergamo</t>
  </si>
  <si>
    <t>Brescia</t>
  </si>
  <si>
    <t>Como</t>
  </si>
  <si>
    <t>Cremona</t>
  </si>
  <si>
    <t>Lecco</t>
  </si>
  <si>
    <t>Lodi</t>
  </si>
  <si>
    <t>Mantova</t>
  </si>
  <si>
    <t>Pavia</t>
  </si>
  <si>
    <t>Sondrio</t>
  </si>
  <si>
    <t>Varese</t>
  </si>
  <si>
    <t>Theaters in Lombardy</t>
  </si>
  <si>
    <t>Province</t>
  </si>
  <si>
    <t>Tickets sold</t>
  </si>
  <si>
    <t>Takings</t>
  </si>
  <si>
    <t>Milan</t>
  </si>
  <si>
    <t>Monza and Brianza</t>
  </si>
  <si>
    <t>TOTAL</t>
  </si>
  <si>
    <t>MINIMUM</t>
  </si>
  <si>
    <t>MAXIMUM</t>
  </si>
  <si>
    <t>AVERAGE</t>
  </si>
  <si>
    <t>COUNT</t>
  </si>
  <si>
    <t>AVERAGE PRICE OF LOMBARDY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</si>
</sst>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15" workbookViewId="0">
      <selection activeCell="F5" sqref="F5"/>
    </sheetView>
  </sheetViews>
  <sheetFormatPr defaultRowHeight="14.4" x14ac:dyDescent="0.3"/>
  <cols>
    <col min="1" max="1" width="28.5546875" bestFit="1" customWidth="1"/>
    <col min="2" max="3" width="10.44140625" bestFit="1" customWidth="1"/>
  </cols>
  <sheetData>
    <row r="1" spans="1:3" x14ac:dyDescent="0.3">
      <c r="A1" s="2" t="s">
        <v>10</v>
      </c>
      <c r="B1" s="2"/>
      <c r="C1" s="2"/>
    </row>
    <row r="3" spans="1:3" x14ac:dyDescent="0.3">
      <c r="A3" s="1" t="s">
        <v>11</v>
      </c>
      <c r="B3" s="1" t="s">
        <v>12</v>
      </c>
      <c r="C3" s="1" t="s">
        <v>13</v>
      </c>
    </row>
    <row r="4" spans="1:3" x14ac:dyDescent="0.3">
      <c r="A4" t="s">
        <v>14</v>
      </c>
      <c r="B4">
        <v>12246781</v>
      </c>
      <c r="C4">
        <v>125875667</v>
      </c>
    </row>
    <row r="5" spans="1:3" x14ac:dyDescent="0.3">
      <c r="A5" t="s">
        <v>1</v>
      </c>
      <c r="B5">
        <v>1615417</v>
      </c>
      <c r="C5">
        <v>16814120</v>
      </c>
    </row>
    <row r="6" spans="1:3" x14ac:dyDescent="0.3">
      <c r="A6" t="s">
        <v>9</v>
      </c>
      <c r="B6">
        <v>1577351</v>
      </c>
      <c r="C6">
        <v>15170002</v>
      </c>
    </row>
    <row r="7" spans="1:3" x14ac:dyDescent="0.3">
      <c r="A7" t="s">
        <v>0</v>
      </c>
      <c r="B7">
        <v>1537640</v>
      </c>
      <c r="C7">
        <v>14979326</v>
      </c>
    </row>
    <row r="8" spans="1:3" x14ac:dyDescent="0.3">
      <c r="A8" t="s">
        <v>7</v>
      </c>
      <c r="B8">
        <v>883235</v>
      </c>
      <c r="C8">
        <v>8629715</v>
      </c>
    </row>
    <row r="9" spans="1:3" x14ac:dyDescent="0.3">
      <c r="A9" t="s">
        <v>15</v>
      </c>
      <c r="B9">
        <v>912566</v>
      </c>
      <c r="C9">
        <v>7998255</v>
      </c>
    </row>
    <row r="10" spans="1:3" x14ac:dyDescent="0.3">
      <c r="A10" t="s">
        <v>2</v>
      </c>
      <c r="B10">
        <v>770527</v>
      </c>
      <c r="C10">
        <v>7743654</v>
      </c>
    </row>
    <row r="11" spans="1:3" x14ac:dyDescent="0.3">
      <c r="A11" t="s">
        <v>6</v>
      </c>
      <c r="B11">
        <v>671018</v>
      </c>
      <c r="C11">
        <v>6969223</v>
      </c>
    </row>
    <row r="12" spans="1:3" x14ac:dyDescent="0.3">
      <c r="A12" t="s">
        <v>3</v>
      </c>
      <c r="B12">
        <v>530349</v>
      </c>
      <c r="C12">
        <v>5032258</v>
      </c>
    </row>
    <row r="13" spans="1:3" x14ac:dyDescent="0.3">
      <c r="A13" t="s">
        <v>4</v>
      </c>
      <c r="B13">
        <v>654021</v>
      </c>
      <c r="C13">
        <v>4563226</v>
      </c>
    </row>
    <row r="14" spans="1:3" x14ac:dyDescent="0.3">
      <c r="A14" t="s">
        <v>5</v>
      </c>
      <c r="B14">
        <v>350476</v>
      </c>
      <c r="C14">
        <v>3580665</v>
      </c>
    </row>
    <row r="15" spans="1:3" x14ac:dyDescent="0.3">
      <c r="A15" t="s">
        <v>8</v>
      </c>
      <c r="B15">
        <v>339596</v>
      </c>
      <c r="C15">
        <v>3405638</v>
      </c>
    </row>
    <row r="17" spans="1:3" x14ac:dyDescent="0.3">
      <c r="A17" s="1" t="s">
        <v>16</v>
      </c>
      <c r="B17">
        <f>SUM(B3:B14)</f>
        <v>21749381</v>
      </c>
      <c r="C17">
        <f>SUM(C3:C14)</f>
        <v>217356111</v>
      </c>
    </row>
    <row r="18" spans="1:3" x14ac:dyDescent="0.3">
      <c r="A18" s="1" t="s">
        <v>17</v>
      </c>
      <c r="B18">
        <f>MIN(B3:B14)</f>
        <v>350476</v>
      </c>
      <c r="C18">
        <f>MIN(C3:C14)</f>
        <v>3580665</v>
      </c>
    </row>
    <row r="19" spans="1:3" x14ac:dyDescent="0.3">
      <c r="A19" s="1" t="s">
        <v>18</v>
      </c>
      <c r="B19">
        <f>MAX(B3:B14)</f>
        <v>12246781</v>
      </c>
      <c r="C19">
        <f>MAX(C3:C14)</f>
        <v>125875667</v>
      </c>
    </row>
    <row r="20" spans="1:3" x14ac:dyDescent="0.3">
      <c r="A20" s="1" t="s">
        <v>19</v>
      </c>
      <c r="B20">
        <f>AVERAGE(B3:B14)</f>
        <v>1977216.4545454546</v>
      </c>
      <c r="C20">
        <f>AVERAGE(C3:C14)</f>
        <v>19759646.454545453</v>
      </c>
    </row>
    <row r="21" spans="1:3" x14ac:dyDescent="0.3">
      <c r="A21" s="1" t="s">
        <v>20</v>
      </c>
      <c r="B21">
        <f>COUNTA(A3:A14)</f>
        <v>12</v>
      </c>
    </row>
    <row r="22" spans="1:3" x14ac:dyDescent="0.3">
      <c r="A22" s="1" t="s">
        <v>21</v>
      </c>
      <c r="B22">
        <f>C17/B17</f>
        <v>9.9936688313106465</v>
      </c>
    </row>
  </sheetData>
  <sortState xmlns:xlrd2="http://schemas.microsoft.com/office/spreadsheetml/2017/richdata2" ref="A4:C15">
    <sortCondition descending="1" ref="C4:C15"/>
  </sortState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2026-03-14T07:30:38Z</dcterms:modified>
</cp:coreProperties>
</file>